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UnfancyRemote\hardware\rx\"/>
    </mc:Choice>
  </mc:AlternateContent>
  <xr:revisionPtr revIDLastSave="0" documentId="8_{D851A1F1-5DDC-45F5-AE49-FE8E58F92AC7}" xr6:coauthVersionLast="47" xr6:coauthVersionMax="47" xr10:uidLastSave="{00000000-0000-0000-0000-000000000000}"/>
  <bookViews>
    <workbookView xWindow="-38505" yWindow="0" windowWidth="19410" windowHeight="20985" xr2:uid="{7E692D6D-A459-4A5F-97C4-69E887A37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5" i="1"/>
  <c r="E6" i="1"/>
  <c r="E7" i="1"/>
  <c r="E8" i="1"/>
  <c r="E9" i="1"/>
  <c r="E10" i="1"/>
  <c r="E5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<sst xmlns="http://schemas.openxmlformats.org/spreadsheetml/2006/main" count="7" uniqueCount="7">
  <si>
    <t>Ref</t>
  </si>
  <si>
    <t>Voltages</t>
  </si>
  <si>
    <t>Cells</t>
  </si>
  <si>
    <t>R1</t>
  </si>
  <si>
    <t>R2</t>
  </si>
  <si>
    <t>Max Ouptut</t>
  </si>
  <si>
    <t>Leakage current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</si>
</sst>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84C69-C2AA-4099-8CDA-50E70ECDE398}">
  <dimension ref="A1:H10"/>
  <sheetViews>
    <sheetView tabSelected="1" workbookViewId="0">
      <selection activeCell="D11" sqref="D11"/>
    </sheetView>
  </sheetViews>
  <sheetFormatPr defaultRowHeight="15" x14ac:dyDescent="0.25"/>
  <cols>
    <col min="5" max="5" width="16.7109375" customWidth="1"/>
    <col min="8" max="8" width="20.140625" customWidth="1"/>
  </cols>
  <sheetData>
    <row r="1" spans="1:8" x14ac:dyDescent="0.25">
      <c r="A1" t="s">
        <v>0</v>
      </c>
    </row>
    <row r="2" spans="1:8" x14ac:dyDescent="0.25">
      <c r="A2">
        <v>4.2</v>
      </c>
    </row>
    <row r="4" spans="1:8" x14ac:dyDescent="0.25">
      <c r="A4" t="s">
        <v>2</v>
      </c>
      <c r="B4" t="s">
        <v>1</v>
      </c>
      <c r="C4" t="s">
        <v>3</v>
      </c>
      <c r="D4" t="s">
        <v>4</v>
      </c>
      <c r="E4" t="s">
        <v>5</v>
      </c>
      <c r="H4" t="s">
        <v>6</v>
      </c>
    </row>
    <row r="5" spans="1:8" x14ac:dyDescent="0.25">
      <c r="A5">
        <v>12</v>
      </c>
      <c r="B5">
        <f>A2*A5</f>
        <v>50.400000000000006</v>
      </c>
      <c r="C5">
        <v>100000</v>
      </c>
      <c r="D5">
        <v>5600</v>
      </c>
      <c r="E5">
        <f>B5*D5/(C5+D5)</f>
        <v>2.6727272727272733</v>
      </c>
      <c r="H5">
        <f>(B5/(C5+D5))*1000</f>
        <v>0.47727272727272735</v>
      </c>
    </row>
    <row r="6" spans="1:8" x14ac:dyDescent="0.25">
      <c r="A6">
        <v>14</v>
      </c>
      <c r="B6">
        <f>A2*A6</f>
        <v>58.800000000000004</v>
      </c>
      <c r="C6">
        <v>100000</v>
      </c>
      <c r="D6">
        <v>4700</v>
      </c>
      <c r="E6">
        <f t="shared" ref="E6:E10" si="0">B6*D6/(C6+D6)</f>
        <v>2.6395415472779371</v>
      </c>
      <c r="H6">
        <f t="shared" ref="H6:H10" si="1">(B6/(C6+D6))*1000</f>
        <v>0.56160458452722062</v>
      </c>
    </row>
    <row r="7" spans="1:8" x14ac:dyDescent="0.25">
      <c r="A7">
        <v>16</v>
      </c>
      <c r="B7">
        <f>A2*A7</f>
        <v>67.2</v>
      </c>
      <c r="C7">
        <v>120000</v>
      </c>
      <c r="D7">
        <v>4700</v>
      </c>
      <c r="E7">
        <f t="shared" si="0"/>
        <v>2.5327987169206096</v>
      </c>
      <c r="H7">
        <f t="shared" si="1"/>
        <v>0.53889334402566158</v>
      </c>
    </row>
    <row r="8" spans="1:8" x14ac:dyDescent="0.25">
      <c r="A8">
        <v>18</v>
      </c>
      <c r="B8">
        <f>A2*A8</f>
        <v>75.600000000000009</v>
      </c>
      <c r="C8">
        <v>120000</v>
      </c>
      <c r="D8">
        <v>3300</v>
      </c>
      <c r="E8">
        <f t="shared" si="0"/>
        <v>2.0233576642335769</v>
      </c>
      <c r="H8">
        <f t="shared" si="1"/>
        <v>0.61313868613138689</v>
      </c>
    </row>
    <row r="9" spans="1:8" x14ac:dyDescent="0.25">
      <c r="A9">
        <v>20</v>
      </c>
      <c r="B9">
        <f>A2*A9</f>
        <v>84</v>
      </c>
      <c r="C9">
        <v>150000</v>
      </c>
      <c r="D9">
        <v>4700</v>
      </c>
      <c r="E9">
        <f t="shared" si="0"/>
        <v>2.5520361990950224</v>
      </c>
      <c r="H9">
        <f t="shared" si="1"/>
        <v>0.54298642533936659</v>
      </c>
    </row>
    <row r="10" spans="1:8" x14ac:dyDescent="0.25">
      <c r="A10">
        <v>22</v>
      </c>
      <c r="B10">
        <f>A2*A10</f>
        <v>92.4</v>
      </c>
      <c r="C10">
        <v>150000</v>
      </c>
      <c r="D10">
        <v>3300</v>
      </c>
      <c r="E10">
        <f t="shared" si="0"/>
        <v>1.989041095890411</v>
      </c>
      <c r="H10">
        <f t="shared" si="1"/>
        <v>0.60273972602739734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Gregorio Juliana Quirós</dc:creator>
  <cp:lastModifiedBy>Gregorio Juliana Quirós</cp:lastModifiedBy>
  <dcterms:created xsi:type="dcterms:W3CDTF">2025-03-01T07:32:24Z</dcterms:created>
  <dcterms:modified xsi:type="dcterms:W3CDTF">2025-03-01T07:51:25Z</dcterms:modified>
</cp:coreProperties>
</file>